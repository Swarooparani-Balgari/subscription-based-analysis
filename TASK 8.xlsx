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"/>
    </mc:Choice>
  </mc:AlternateContent>
  <xr:revisionPtr revIDLastSave="0" documentId="8_{32741874-335D-460D-9303-DD309A152D60}" xr6:coauthVersionLast="47" xr6:coauthVersionMax="47" xr10:uidLastSave="{00000000-0000-0000-0000-000000000000}"/>
  <bookViews>
    <workbookView xWindow="-108" yWindow="-108" windowWidth="23256" windowHeight="12456" firstSheet="1" activeTab="5" xr2:uid="{FFC606F6-BE69-4EB6-BBDF-445987BEFB72}"/>
  </bookViews>
  <sheets>
    <sheet name="Revenue by Plan" sheetId="2" r:id="rId1"/>
    <sheet name="Revenue by Device" sheetId="4" r:id="rId2"/>
    <sheet name="Users by City" sheetId="3" r:id="rId3"/>
    <sheet name="Users by Device" sheetId="5" r:id="rId4"/>
    <sheet name="Months Active by Pla" sheetId="6" r:id="rId5"/>
    <sheet name="Dataset" sheetId="1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B10" i="5" a="1"/>
  <c r="B10" i="5" s="1"/>
  <c r="B10" i="4"/>
  <c r="B11" i="3" a="1"/>
  <c r="B11" i="3" s="1"/>
  <c r="B10" i="2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<sst xmlns="http://schemas.openxmlformats.org/spreadsheetml/2006/main" count="85" uniqueCount="30">
  <si>
    <t>UserID</t>
  </si>
  <si>
    <t>JoinDate</t>
  </si>
  <si>
    <t>City</t>
  </si>
  <si>
    <t>Plan</t>
  </si>
  <si>
    <t>MonthlyFee</t>
  </si>
  <si>
    <t>MonthsActive</t>
  </si>
  <si>
    <t>Device</t>
  </si>
  <si>
    <t>PaymentType</t>
  </si>
  <si>
    <t>Delhi</t>
  </si>
  <si>
    <t>Basic</t>
  </si>
  <si>
    <t>Mobile</t>
  </si>
  <si>
    <t>UPI</t>
  </si>
  <si>
    <t>Mumbai</t>
  </si>
  <si>
    <t>Premium</t>
  </si>
  <si>
    <t>TV</t>
  </si>
  <si>
    <t>Card</t>
  </si>
  <si>
    <t>Bangalore</t>
  </si>
  <si>
    <t>Standard</t>
  </si>
  <si>
    <t>Laptop</t>
  </si>
  <si>
    <t>Hyderabad</t>
  </si>
  <si>
    <t>Revenue</t>
  </si>
  <si>
    <t>Grand Total</t>
  </si>
  <si>
    <t>Sum of Revenue</t>
  </si>
  <si>
    <t>Most Profitable Plan</t>
  </si>
  <si>
    <t>Count of Users</t>
  </si>
  <si>
    <t>City which has more no of Users</t>
  </si>
  <si>
    <t>Device which has highest revenue</t>
  </si>
  <si>
    <t>Device which has more no. of Users</t>
  </si>
  <si>
    <t>Sum of MonthsActive</t>
  </si>
  <si>
    <t xml:space="preserve">Overall Average months 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</si>
</sst>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8.xlsx]Revenue by Plan!PivotTable1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3175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3175"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3175">
                    <a:noFill/>
                  </a:ln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'Revenue by Plan'!$B$3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Plan'!$A$4:$A$7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'Revenue by Plan'!$B$4:$B$7</c:f>
              <c:numCache>
                <c:formatCode>General</c:formatCode>
                <c:ptCount val="3"/>
                <c:pt idx="0">
                  <c:v>2388</c:v>
                </c:pt>
                <c:pt idx="1">
                  <c:v>2392</c:v>
                </c:pt>
                <c:pt idx="2">
                  <c:v>5988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8-4511-AF3B-96CD379ED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2578367"/>
        <c:axId val="2032578847"/>
      </c:barChart>
      <c:catAx>
        <c:axId val="20325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78847"/>
        <c:crosses val="autoZero"/>
        <c:auto val="1"/>
        <c:lblAlgn val="ctr"/>
        <c:lblOffset val="100"/>
        <c:noMultiLvlLbl val="0"/>
      </c:catAx>
      <c:valAx>
        <c:axId val="203257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7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50000"/>
      </a:schemeClr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/>
    <a:lstStyle/>
    <a:p>
      <a:pPr>
        <a:defRPr>
          <a:ln w="3175">
            <a:noFill/>
          </a:ln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8.xlsx]Revenue by Device!PivotTable3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0" cap="rnd" cmpd="sng"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bg1"/>
                  </a:glow>
                  <a:outerShdw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0" cap="rnd" cmpd="sng">
                <a:solidFill>
                  <a:schemeClr val="bg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effectLst>
                <a:glow>
                  <a:schemeClr val="bg1"/>
                </a:glow>
                <a:outerShdw dist="50800" dir="5400000" algn="ctr" rotWithShape="0">
                  <a:schemeClr val="tx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 w="0" cap="rnd" cmpd="sng">
                    <a:solidFill>
                      <a:schemeClr val="bg2"/>
                    </a:solidFill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effectLst>
                    <a:glow>
                      <a:schemeClr val="bg1"/>
                    </a:glow>
                    <a:outerShdw dist="50800" dir="5400000" algn="ctr" rotWithShape="0">
                      <a:schemeClr val="tx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'Revenue by Device'!$B$3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  <a:sp3d/>
          </c:spPr>
          <c:invertIfNegative val="0"/>
          <c:cat>
            <c:strRef>
              <c:f>'Revenue by Device'!$A$4:$A$7</c:f>
              <c:strCache>
                <c:ptCount val="3"/>
                <c:pt idx="0">
                  <c:v>TV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'Revenue by Device'!$B$4:$B$7</c:f>
              <c:numCache>
                <c:formatCode>General</c:formatCode>
                <c:ptCount val="3"/>
                <c:pt idx="0">
                  <c:v>5988</c:v>
                </c:pt>
                <c:pt idx="1">
                  <c:v>2392</c:v>
                </c:pt>
                <c:pt idx="2">
                  <c:v>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5-478C-9C9F-6EB916DA1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63802639"/>
        <c:axId val="163799759"/>
        <c:axId val="154370895"/>
      </c:bar3DChart>
      <c:catAx>
        <c:axId val="1638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 cap="rnd" cmpd="sng"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bg1"/>
                  </a:glow>
                  <a:outerShdw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9759"/>
        <c:crosses val="autoZero"/>
        <c:auto val="1"/>
        <c:lblAlgn val="ctr"/>
        <c:lblOffset val="100"/>
        <c:noMultiLvlLbl val="0"/>
      </c:catAx>
      <c:valAx>
        <c:axId val="16379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 cap="rnd" cmpd="sng"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bg1"/>
                  </a:glow>
                  <a:outerShdw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02639"/>
        <c:crosses val="autoZero"/>
        <c:crossBetween val="between"/>
      </c:valAx>
      <c:serAx>
        <c:axId val="1543708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0" cap="rnd" cmpd="sng"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bg1"/>
                  </a:glow>
                  <a:outerShdw dist="50800" dir="5400000" algn="ctr" rotWithShape="0">
                    <a:schemeClr val="tx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9975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 w="0" cap="rnd" cmpd="sng">
            <a:solidFill>
              <a:schemeClr val="bg2"/>
            </a:solidFill>
          </a:ln>
          <a:effectLst>
            <a:glow>
              <a:schemeClr val="bg1"/>
            </a:glow>
            <a:outerShdw dist="50800" dir="5400000" algn="ctr" rotWithShape="0">
              <a:schemeClr val="tx1"/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8.xlsx]Users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 w="6350"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95000"/>
                    <a:lumOff val="5000"/>
                  </a:schemeClr>
                </a:solidFill>
              </a:rPr>
              <a:t>Users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 w="6350"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 w="6350"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'Users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D5-4C69-8790-88EA259510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D5-4C69-8790-88EA259510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D5-4C69-8790-88EA259510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D5-4C69-8790-88EA2595101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 w="6350"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'Users by City'!$A$4:$A$8</c:f>
              <c:strCache>
                <c:ptCount val="4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  <c:pt idx="3">
                  <c:v>Hyderabad</c:v>
                </c:pt>
              </c:strCache>
            </c:strRef>
          </c:cat>
          <c:val>
            <c:numRef>
              <c:f>'Users by City'!$B$4:$B$8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E-4966-BB46-500C254271C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6350">
                <a:noFill/>
              </a:ln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7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ln w="6350"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8.xlsx]Users by Device!PivotTable4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Users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'Users by Device'!$B$3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A06-4723-B862-D6971E6326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A06-4723-B862-D6971E6326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A06-4723-B862-D6971E63269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'Users by Device'!$A$4:$A$7</c:f>
              <c:strCache>
                <c:ptCount val="3"/>
                <c:pt idx="0">
                  <c:v>TV</c:v>
                </c:pt>
                <c:pt idx="1">
                  <c:v>Laptop</c:v>
                </c:pt>
                <c:pt idx="2">
                  <c:v>Mobile</c:v>
                </c:pt>
              </c:strCache>
            </c:strRef>
          </c:cat>
          <c:val>
            <c:numRef>
              <c:f>'Users by Device'!$B$4:$B$7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4-4F80-A331-AEE6AD6691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2060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8.xlsx]Months Active by Pla!PivotTable5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Months Active by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'Months Active by Pla'!$B$3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'Months Active by Pla'!$A$4:$A$7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'Months Active by Pla'!$B$4:$B$7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C-4C5E-A050-B84C51F9B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52639"/>
        <c:axId val="167554079"/>
      </c:lineChart>
      <c:catAx>
        <c:axId val="16755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4079"/>
        <c:crosses val="autoZero"/>
        <c:auto val="1"/>
        <c:lblAlgn val="ctr"/>
        <c:lblOffset val="100"/>
        <c:noMultiLvlLbl val="0"/>
      </c:catAx>
      <c:valAx>
        <c:axId val="167554079"/>
        <c:scaling>
          <c:orientation val="minMax"/>
        </c:scaling>
        <c:delete val="0"/>
        <c:axPos val="l"/>
        <c:majorGridlines>
          <c:spPr>
            <a:ln w="9525" cap="rnd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  <a:r>
                  <a:rPr lang="en-IN" baseline="0"/>
                  <a:t> Active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52639"/>
        <c:crosses val="autoZero"/>
        <c:crossBetween val="between"/>
      </c:valAx>
      <c:spPr>
        <a:solidFill>
          <a:schemeClr val="tx1">
            <a:lumMod val="95000"/>
            <a:lumOff val="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13</xdr:col>
      <xdr:colOff>30480</xdr:colOff>
      <xdr:row>21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F991A-B7FD-F63E-8379-6D37727A3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49530</xdr:rowOff>
    </xdr:from>
    <xdr:to>
      <xdr:col>13</xdr:col>
      <xdr:colOff>0</xdr:colOff>
      <xdr:row>23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67601-6C5E-8F6E-8C7E-FD33BE34E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1</xdr:row>
      <xdr:rowOff>148590</xdr:rowOff>
    </xdr:from>
    <xdr:to>
      <xdr:col>12</xdr:col>
      <xdr:colOff>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5F56E-A008-B448-7492-5C1F5EFE2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118110</xdr:rowOff>
    </xdr:from>
    <xdr:to>
      <xdr:col>13</xdr:col>
      <xdr:colOff>15240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424D36-82A6-CD14-0734-7B75BF10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171450</xdr:rowOff>
    </xdr:from>
    <xdr:to>
      <xdr:col>13</xdr:col>
      <xdr:colOff>22860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DEA267-E24B-082E-356E-195BC4D31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9.562818634258" createdVersion="8" refreshedVersion="8" minRefreshableVersion="3" recordCount="10" xr:uid="{73691E10-063A-4B7F-B7F9-5BE3D3FB81B0}">
  <cacheSource type="worksheet">
    <worksheetSource ref="A1:I11" sheet="Dataset"/>
  </cacheSource>
  <cacheFields count="9">
    <cacheField name="UserID" numFmtId="0">
      <sharedItems containsSemiMixedTypes="0" containsString="0" containsNumber="1" containsInteger="1" minValue="6001" maxValue="6010" count="10">
        <n v="6001"/>
        <n v="6002"/>
        <n v="6003"/>
        <n v="6004"/>
        <n v="6005"/>
        <n v="6006"/>
        <n v="6007"/>
        <n v="6008"/>
        <n v="6009"/>
        <n v="6010"/>
      </sharedItems>
    </cacheField>
    <cacheField name="JoinDate" numFmtId="14">
      <sharedItems containsSemiMixedTypes="0" containsNonDate="0" containsDate="1" containsString="0" minDate="2026-01-05T00:00:00" maxDate="2026-01-15T00:00:00"/>
    </cacheField>
    <cacheField name="City" numFmtId="0">
      <sharedItems count="4">
        <s v="Delhi"/>
        <s v="Mumbai"/>
        <s v="Bangalore"/>
        <s v="Hyderabad"/>
      </sharedItems>
    </cacheField>
    <cacheField name="Plan" numFmtId="0">
      <sharedItems count="3">
        <s v="Basic"/>
        <s v="Premium"/>
        <s v="Standard"/>
      </sharedItems>
    </cacheField>
    <cacheField name="MonthlyFee" numFmtId="0">
      <sharedItems containsSemiMixedTypes="0" containsString="0" containsNumber="1" containsInteger="1" minValue="199" maxValue="499"/>
    </cacheField>
    <cacheField name="MonthsActive" numFmtId="0">
      <sharedItems containsSemiMixedTypes="0" containsString="0" containsNumber="1" containsInteger="1" minValue="1" maxValue="6" count="6">
        <n v="3"/>
        <n v="2"/>
        <n v="4"/>
        <n v="1"/>
        <n v="5"/>
        <n v="6"/>
      </sharedItems>
    </cacheField>
    <cacheField name="Device" numFmtId="0">
      <sharedItems count="3">
        <s v="Mobile"/>
        <s v="TV"/>
        <s v="Laptop"/>
      </sharedItems>
    </cacheField>
    <cacheField name="PaymentType" numFmtId="0">
      <sharedItems/>
    </cacheField>
    <cacheField name="Revenue" numFmtId="0">
      <sharedItems containsSemiMixedTypes="0" containsString="0" containsNumber="1" containsInteger="1" minValue="499" maxValue="2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d v="2026-01-05T00:00:00"/>
    <x v="0"/>
    <x v="0"/>
    <n v="199"/>
    <x v="0"/>
    <x v="0"/>
    <s v="UPI"/>
    <n v="597"/>
  </r>
  <r>
    <x v="1"/>
    <d v="2026-01-06T00:00:00"/>
    <x v="1"/>
    <x v="1"/>
    <n v="499"/>
    <x v="1"/>
    <x v="1"/>
    <s v="Card"/>
    <n v="998"/>
  </r>
  <r>
    <x v="2"/>
    <d v="2026-01-07T00:00:00"/>
    <x v="2"/>
    <x v="2"/>
    <n v="299"/>
    <x v="2"/>
    <x v="2"/>
    <s v="UPI"/>
    <n v="1196"/>
  </r>
  <r>
    <x v="3"/>
    <d v="2026-01-08T00:00:00"/>
    <x v="0"/>
    <x v="1"/>
    <n v="499"/>
    <x v="3"/>
    <x v="1"/>
    <s v="Card"/>
    <n v="499"/>
  </r>
  <r>
    <x v="4"/>
    <d v="2026-01-09T00:00:00"/>
    <x v="3"/>
    <x v="0"/>
    <n v="199"/>
    <x v="4"/>
    <x v="0"/>
    <s v="UPI"/>
    <n v="995"/>
  </r>
  <r>
    <x v="5"/>
    <d v="2026-01-10T00:00:00"/>
    <x v="1"/>
    <x v="2"/>
    <n v="299"/>
    <x v="1"/>
    <x v="2"/>
    <s v="Card"/>
    <n v="598"/>
  </r>
  <r>
    <x v="6"/>
    <d v="2026-01-11T00:00:00"/>
    <x v="2"/>
    <x v="1"/>
    <n v="499"/>
    <x v="0"/>
    <x v="1"/>
    <s v="UPI"/>
    <n v="1497"/>
  </r>
  <r>
    <x v="7"/>
    <d v="2026-01-12T00:00:00"/>
    <x v="3"/>
    <x v="0"/>
    <n v="199"/>
    <x v="2"/>
    <x v="0"/>
    <s v="UPI"/>
    <n v="796"/>
  </r>
  <r>
    <x v="8"/>
    <d v="2026-01-13T00:00:00"/>
    <x v="0"/>
    <x v="2"/>
    <n v="299"/>
    <x v="1"/>
    <x v="2"/>
    <s v="Card"/>
    <n v="598"/>
  </r>
  <r>
    <x v="9"/>
    <d v="2026-01-14T00:00:00"/>
    <x v="1"/>
    <x v="1"/>
    <n v="499"/>
    <x v="5"/>
    <x v="1"/>
    <s v="Card"/>
    <n v="29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41949-9BFA-4A84-A64C-F08AC55660A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Plan">
  <location ref="A3:B7" firstHeaderRow="1" firstDataRow="1" firstDataCol="1"/>
  <pivotFields count="9">
    <pivotField showAll="0"/>
    <pivotField numFmtId="14" showAll="0"/>
    <pivotField showAll="0"/>
    <pivotField axis="axisRow"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venue" fld="8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05F82-8DC2-44C5-8EED-8876C57014E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vice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8D19B-2AAA-4A64-AF5E-DA9D3573F5B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ity">
  <location ref="A3:B8" firstHeaderRow="1" firstDataRow="1" firstDataCol="1"/>
  <pivotFields count="9">
    <pivotField dataField="1" showAll="0"/>
    <pivotField numFmtId="14"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 of Users" fld="0" subtotal="count" baseField="2" baseItem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DA062-735B-4F52-971B-FFE9C78F37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vice">
  <location ref="A3:B7" firstHeaderRow="1" firstDataRow="1" firstDataCol="1"/>
  <pivotFields count="9">
    <pivotField dataField="1"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Users" fld="0" subtotal="count" baseField="6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4CF38-7710-4368-B5F4-76E3ECD8264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lan">
  <location ref="A3:B7" firstHeaderRow="1" firstDataRow="1" firstDataCol="1"/>
  <pivotFields count="9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umFmtId="1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>
      <items count="7">
        <item x="3"/>
        <item x="1"/>
        <item x="0"/>
        <item x="2"/>
        <item x="4"/>
        <item x="5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sActive" fld="5" baseField="3" baseItem="2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C547-BB14-4505-BA66-086C864304A6}">
  <dimension ref="A3:B10"/>
  <sheetViews>
    <sheetView workbookViewId="0">
      <selection activeCell="P9" sqref="P9"/>
    </sheetView>
  </sheetViews>
  <sheetFormatPr defaultRowHeight="14.4" x14ac:dyDescent="0.3"/>
  <cols>
    <col min="1" max="1" width="18.33203125" style="6" bestFit="1" customWidth="1"/>
    <col min="2" max="2" width="14.88671875" style="6" bestFit="1" customWidth="1"/>
    <col min="3" max="16384" width="8.88671875" style="6"/>
  </cols>
  <sheetData>
    <row r="3" spans="1:2" x14ac:dyDescent="0.3">
      <c r="A3" s="8" t="s">
        <v>3</v>
      </c>
      <c r="B3" s="6" t="s">
        <v>22</v>
      </c>
    </row>
    <row r="4" spans="1:2" x14ac:dyDescent="0.3">
      <c r="A4" s="6" t="s">
        <v>9</v>
      </c>
      <c r="B4" s="6">
        <v>2388</v>
      </c>
    </row>
    <row r="5" spans="1:2" x14ac:dyDescent="0.3">
      <c r="A5" s="6" t="s">
        <v>17</v>
      </c>
      <c r="B5" s="6">
        <v>2392</v>
      </c>
    </row>
    <row r="6" spans="1:2" x14ac:dyDescent="0.3">
      <c r="A6" s="6" t="s">
        <v>13</v>
      </c>
      <c r="B6" s="6">
        <v>5988</v>
      </c>
    </row>
    <row r="7" spans="1:2" x14ac:dyDescent="0.3">
      <c r="A7" s="6" t="s">
        <v>21</v>
      </c>
      <c r="B7" s="6">
        <v>10768</v>
      </c>
    </row>
    <row r="10" spans="1:2" x14ac:dyDescent="0.3">
      <c r="A10" s="5" t="s">
        <v>23</v>
      </c>
      <c r="B10" s="5" t="str">
        <f>_xlfn.XLOOKUP(MAX(B4:B6),B4:B6,A4:A6,,0)</f>
        <v>Premium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CE75-9557-4936-8E00-3CA8289B48C4}">
  <dimension ref="A3:B10"/>
  <sheetViews>
    <sheetView workbookViewId="0">
      <selection activeCell="O11" sqref="O11"/>
    </sheetView>
  </sheetViews>
  <sheetFormatPr defaultRowHeight="14.4" x14ac:dyDescent="0.3"/>
  <cols>
    <col min="1" max="1" width="28.5546875" style="6" bestFit="1" customWidth="1"/>
    <col min="2" max="2" width="14.88671875" style="6" bestFit="1" customWidth="1"/>
    <col min="3" max="16384" width="8.88671875" style="6"/>
  </cols>
  <sheetData>
    <row r="3" spans="1:2" x14ac:dyDescent="0.3">
      <c r="A3" s="8" t="s">
        <v>6</v>
      </c>
      <c r="B3" s="6" t="s">
        <v>22</v>
      </c>
    </row>
    <row r="4" spans="1:2" x14ac:dyDescent="0.3">
      <c r="A4" s="6" t="s">
        <v>14</v>
      </c>
      <c r="B4" s="6">
        <v>5988</v>
      </c>
    </row>
    <row r="5" spans="1:2" x14ac:dyDescent="0.3">
      <c r="A5" s="6" t="s">
        <v>18</v>
      </c>
      <c r="B5" s="6">
        <v>2392</v>
      </c>
    </row>
    <row r="6" spans="1:2" x14ac:dyDescent="0.3">
      <c r="A6" s="6" t="s">
        <v>10</v>
      </c>
      <c r="B6" s="6">
        <v>2388</v>
      </c>
    </row>
    <row r="7" spans="1:2" x14ac:dyDescent="0.3">
      <c r="A7" s="6" t="s">
        <v>21</v>
      </c>
      <c r="B7" s="6">
        <v>10768</v>
      </c>
    </row>
    <row r="10" spans="1:2" x14ac:dyDescent="0.3">
      <c r="A10" s="5" t="s">
        <v>26</v>
      </c>
      <c r="B10" s="5" t="str">
        <f>_xlfn.XLOOKUP(MAX(B4:B6),B4:B6,A4:A6,,0)</f>
        <v>TV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4A11-9077-4AB9-ABFD-525B3B0C0558}">
  <dimension ref="A3:B11"/>
  <sheetViews>
    <sheetView workbookViewId="0">
      <selection activeCell="O8" sqref="O8"/>
    </sheetView>
  </sheetViews>
  <sheetFormatPr defaultRowHeight="14.4" x14ac:dyDescent="0.3"/>
  <cols>
    <col min="1" max="1" width="28.21875" style="6" bestFit="1" customWidth="1"/>
    <col min="2" max="2" width="13.44140625" style="6" bestFit="1" customWidth="1"/>
    <col min="3" max="16384" width="8.88671875" style="6"/>
  </cols>
  <sheetData>
    <row r="3" spans="1:2" x14ac:dyDescent="0.3">
      <c r="A3" s="8" t="s">
        <v>2</v>
      </c>
      <c r="B3" s="6" t="s">
        <v>24</v>
      </c>
    </row>
    <row r="4" spans="1:2" x14ac:dyDescent="0.3">
      <c r="A4" s="6" t="s">
        <v>12</v>
      </c>
      <c r="B4" s="6">
        <v>3</v>
      </c>
    </row>
    <row r="5" spans="1:2" x14ac:dyDescent="0.3">
      <c r="A5" s="6" t="s">
        <v>8</v>
      </c>
      <c r="B5" s="6">
        <v>3</v>
      </c>
    </row>
    <row r="6" spans="1:2" x14ac:dyDescent="0.3">
      <c r="A6" s="6" t="s">
        <v>16</v>
      </c>
      <c r="B6" s="6">
        <v>2</v>
      </c>
    </row>
    <row r="7" spans="1:2" x14ac:dyDescent="0.3">
      <c r="A7" s="6" t="s">
        <v>19</v>
      </c>
      <c r="B7" s="6">
        <v>2</v>
      </c>
    </row>
    <row r="8" spans="1:2" x14ac:dyDescent="0.3">
      <c r="A8" s="6" t="s">
        <v>21</v>
      </c>
      <c r="B8" s="6">
        <v>10</v>
      </c>
    </row>
    <row r="11" spans="1:2" x14ac:dyDescent="0.3">
      <c r="A11" s="5" t="s">
        <v>25</v>
      </c>
      <c r="B11" s="5" t="str" cm="1">
        <f t="array" ref="B11">_xlfn.TEXTJOIN(",",TRUE,_xlfn._xlws.FILTER(A4:A7,B4:B7=MAX(B4:B7)))</f>
        <v>Mumbai,Delhi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304D-734D-44E1-A4DD-ADB43D20E089}">
  <dimension ref="A3:B10"/>
  <sheetViews>
    <sheetView workbookViewId="0">
      <selection activeCell="Q11" sqref="Q11"/>
    </sheetView>
  </sheetViews>
  <sheetFormatPr defaultRowHeight="14.4" x14ac:dyDescent="0.3"/>
  <cols>
    <col min="1" max="1" width="31.21875" style="6" bestFit="1" customWidth="1"/>
    <col min="2" max="2" width="13.44140625" style="6" bestFit="1" customWidth="1"/>
    <col min="3" max="16384" width="8.88671875" style="6"/>
  </cols>
  <sheetData>
    <row r="3" spans="1:2" x14ac:dyDescent="0.3">
      <c r="A3" s="8" t="s">
        <v>6</v>
      </c>
      <c r="B3" s="6" t="s">
        <v>24</v>
      </c>
    </row>
    <row r="4" spans="1:2" x14ac:dyDescent="0.3">
      <c r="A4" s="6" t="s">
        <v>14</v>
      </c>
      <c r="B4" s="6">
        <v>4</v>
      </c>
    </row>
    <row r="5" spans="1:2" x14ac:dyDescent="0.3">
      <c r="A5" s="6" t="s">
        <v>18</v>
      </c>
      <c r="B5" s="6">
        <v>3</v>
      </c>
    </row>
    <row r="6" spans="1:2" x14ac:dyDescent="0.3">
      <c r="A6" s="6" t="s">
        <v>10</v>
      </c>
      <c r="B6" s="6">
        <v>3</v>
      </c>
    </row>
    <row r="7" spans="1:2" x14ac:dyDescent="0.3">
      <c r="A7" s="6" t="s">
        <v>21</v>
      </c>
      <c r="B7" s="6">
        <v>10</v>
      </c>
    </row>
    <row r="10" spans="1:2" x14ac:dyDescent="0.3">
      <c r="A10" s="5" t="s">
        <v>27</v>
      </c>
      <c r="B10" s="5" t="str" cm="1">
        <f t="array" ref="B10">_xlfn.TEXTJOIN(",",TRUE,_xlfn._xlws.FILTER(A4:A6,B4:B6=MIN(B4:B6)))</f>
        <v>Laptop,Mobile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C7BD-5840-4E46-B264-BF7243E735AE}">
  <dimension ref="A3:C13"/>
  <sheetViews>
    <sheetView workbookViewId="0">
      <selection activeCell="B17" sqref="B17"/>
    </sheetView>
  </sheetViews>
  <sheetFormatPr defaultRowHeight="14.4" x14ac:dyDescent="0.3"/>
  <cols>
    <col min="1" max="1" width="26.5546875" style="6" bestFit="1" customWidth="1"/>
    <col min="2" max="2" width="19.44140625" style="6" bestFit="1" customWidth="1"/>
    <col min="3" max="3" width="8.5546875" style="6" customWidth="1"/>
    <col min="4" max="16384" width="8.88671875" style="6"/>
  </cols>
  <sheetData>
    <row r="3" spans="1:3" x14ac:dyDescent="0.3">
      <c r="A3" s="8" t="s">
        <v>3</v>
      </c>
      <c r="B3" s="6" t="s">
        <v>28</v>
      </c>
      <c r="C3"/>
    </row>
    <row r="4" spans="1:3" x14ac:dyDescent="0.3">
      <c r="A4" s="6" t="s">
        <v>9</v>
      </c>
      <c r="B4" s="6">
        <v>12</v>
      </c>
      <c r="C4"/>
    </row>
    <row r="5" spans="1:3" x14ac:dyDescent="0.3">
      <c r="A5" s="6" t="s">
        <v>13</v>
      </c>
      <c r="B5" s="6">
        <v>12</v>
      </c>
      <c r="C5"/>
    </row>
    <row r="6" spans="1:3" x14ac:dyDescent="0.3">
      <c r="A6" s="6" t="s">
        <v>17</v>
      </c>
      <c r="B6" s="6">
        <v>8</v>
      </c>
      <c r="C6"/>
    </row>
    <row r="7" spans="1:3" x14ac:dyDescent="0.3">
      <c r="A7" s="6" t="s">
        <v>21</v>
      </c>
      <c r="B7" s="6">
        <v>32</v>
      </c>
      <c r="C7"/>
    </row>
    <row r="10" spans="1:3" x14ac:dyDescent="0.3">
      <c r="A10" s="5" t="s">
        <v>29</v>
      </c>
      <c r="B10" s="12">
        <f>AVERAGE(B4:B6)</f>
        <v>10.666666666666666</v>
      </c>
    </row>
    <row r="13" spans="1:3" x14ac:dyDescent="0.3">
      <c r="A13" s="1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1440-9A91-4B71-9DE3-792785F50840}">
  <dimension ref="A1:I11"/>
  <sheetViews>
    <sheetView tabSelected="1" workbookViewId="0">
      <selection activeCell="K21" sqref="K21"/>
    </sheetView>
  </sheetViews>
  <sheetFormatPr defaultRowHeight="14.4" x14ac:dyDescent="0.3"/>
  <cols>
    <col min="1" max="1" width="6.5546875" style="6" bestFit="1" customWidth="1"/>
    <col min="2" max="2" width="10.33203125" style="7" bestFit="1" customWidth="1"/>
    <col min="3" max="3" width="9.77734375" style="6" bestFit="1" customWidth="1"/>
    <col min="4" max="4" width="8.21875" style="6" bestFit="1" customWidth="1"/>
    <col min="5" max="5" width="11.109375" style="10" bestFit="1" customWidth="1"/>
    <col min="6" max="6" width="12.77734375" style="6" bestFit="1" customWidth="1"/>
    <col min="7" max="7" width="6.6640625" style="6" bestFit="1" customWidth="1"/>
    <col min="8" max="8" width="12.6640625" style="6" bestFit="1" customWidth="1"/>
    <col min="9" max="9" width="9.44140625" style="10" bestFit="1" customWidth="1"/>
    <col min="10" max="16384" width="8.88671875" style="6"/>
  </cols>
  <sheetData>
    <row r="1" spans="1:9" x14ac:dyDescent="0.3">
      <c r="A1" s="1" t="s">
        <v>0</v>
      </c>
      <c r="B1" s="4" t="s">
        <v>1</v>
      </c>
      <c r="C1" s="1" t="s">
        <v>2</v>
      </c>
      <c r="D1" s="1" t="s">
        <v>3</v>
      </c>
      <c r="E1" s="13" t="s">
        <v>4</v>
      </c>
      <c r="F1" s="1" t="s">
        <v>5</v>
      </c>
      <c r="G1" s="1" t="s">
        <v>6</v>
      </c>
      <c r="H1" s="1" t="s">
        <v>7</v>
      </c>
      <c r="I1" s="9" t="s">
        <v>20</v>
      </c>
    </row>
    <row r="2" spans="1:9" x14ac:dyDescent="0.3">
      <c r="A2" s="2">
        <v>6001</v>
      </c>
      <c r="B2" s="3">
        <v>46027</v>
      </c>
      <c r="C2" s="2" t="s">
        <v>8</v>
      </c>
      <c r="D2" s="2" t="s">
        <v>9</v>
      </c>
      <c r="E2" s="14">
        <v>199</v>
      </c>
      <c r="F2" s="2">
        <v>3</v>
      </c>
      <c r="G2" s="2" t="s">
        <v>10</v>
      </c>
      <c r="H2" s="2" t="s">
        <v>11</v>
      </c>
      <c r="I2" s="10">
        <f>E2*F2</f>
        <v>597</v>
      </c>
    </row>
    <row r="3" spans="1:9" x14ac:dyDescent="0.3">
      <c r="A3" s="2">
        <v>6002</v>
      </c>
      <c r="B3" s="3">
        <v>46028</v>
      </c>
      <c r="C3" s="2" t="s">
        <v>12</v>
      </c>
      <c r="D3" s="2" t="s">
        <v>13</v>
      </c>
      <c r="E3" s="14">
        <v>499</v>
      </c>
      <c r="F3" s="2">
        <v>2</v>
      </c>
      <c r="G3" s="2" t="s">
        <v>14</v>
      </c>
      <c r="H3" s="2" t="s">
        <v>15</v>
      </c>
      <c r="I3" s="10">
        <f t="shared" ref="I3:I11" si="0">E3*F3</f>
        <v>998</v>
      </c>
    </row>
    <row r="4" spans="1:9" x14ac:dyDescent="0.3">
      <c r="A4" s="2">
        <v>6003</v>
      </c>
      <c r="B4" s="3">
        <v>46029</v>
      </c>
      <c r="C4" s="2" t="s">
        <v>16</v>
      </c>
      <c r="D4" s="2" t="s">
        <v>17</v>
      </c>
      <c r="E4" s="14">
        <v>299</v>
      </c>
      <c r="F4" s="2">
        <v>4</v>
      </c>
      <c r="G4" s="2" t="s">
        <v>18</v>
      </c>
      <c r="H4" s="2" t="s">
        <v>11</v>
      </c>
      <c r="I4" s="10">
        <f t="shared" si="0"/>
        <v>1196</v>
      </c>
    </row>
    <row r="5" spans="1:9" x14ac:dyDescent="0.3">
      <c r="A5" s="2">
        <v>6004</v>
      </c>
      <c r="B5" s="3">
        <v>46030</v>
      </c>
      <c r="C5" s="2" t="s">
        <v>8</v>
      </c>
      <c r="D5" s="2" t="s">
        <v>13</v>
      </c>
      <c r="E5" s="14">
        <v>499</v>
      </c>
      <c r="F5" s="2">
        <v>1</v>
      </c>
      <c r="G5" s="2" t="s">
        <v>14</v>
      </c>
      <c r="H5" s="2" t="s">
        <v>15</v>
      </c>
      <c r="I5" s="10">
        <f t="shared" si="0"/>
        <v>499</v>
      </c>
    </row>
    <row r="6" spans="1:9" x14ac:dyDescent="0.3">
      <c r="A6" s="2">
        <v>6005</v>
      </c>
      <c r="B6" s="3">
        <v>46031</v>
      </c>
      <c r="C6" s="2" t="s">
        <v>19</v>
      </c>
      <c r="D6" s="2" t="s">
        <v>9</v>
      </c>
      <c r="E6" s="14">
        <v>199</v>
      </c>
      <c r="F6" s="2">
        <v>5</v>
      </c>
      <c r="G6" s="2" t="s">
        <v>10</v>
      </c>
      <c r="H6" s="2" t="s">
        <v>11</v>
      </c>
      <c r="I6" s="10">
        <f t="shared" si="0"/>
        <v>995</v>
      </c>
    </row>
    <row r="7" spans="1:9" x14ac:dyDescent="0.3">
      <c r="A7" s="2">
        <v>6006</v>
      </c>
      <c r="B7" s="3">
        <v>46032</v>
      </c>
      <c r="C7" s="2" t="s">
        <v>12</v>
      </c>
      <c r="D7" s="2" t="s">
        <v>17</v>
      </c>
      <c r="E7" s="14">
        <v>299</v>
      </c>
      <c r="F7" s="2">
        <v>2</v>
      </c>
      <c r="G7" s="2" t="s">
        <v>18</v>
      </c>
      <c r="H7" s="2" t="s">
        <v>15</v>
      </c>
      <c r="I7" s="10">
        <f t="shared" si="0"/>
        <v>598</v>
      </c>
    </row>
    <row r="8" spans="1:9" x14ac:dyDescent="0.3">
      <c r="A8" s="2">
        <v>6007</v>
      </c>
      <c r="B8" s="3">
        <v>46033</v>
      </c>
      <c r="C8" s="2" t="s">
        <v>16</v>
      </c>
      <c r="D8" s="2" t="s">
        <v>13</v>
      </c>
      <c r="E8" s="14">
        <v>499</v>
      </c>
      <c r="F8" s="2">
        <v>3</v>
      </c>
      <c r="G8" s="2" t="s">
        <v>14</v>
      </c>
      <c r="H8" s="2" t="s">
        <v>11</v>
      </c>
      <c r="I8" s="10">
        <f t="shared" si="0"/>
        <v>1497</v>
      </c>
    </row>
    <row r="9" spans="1:9" x14ac:dyDescent="0.3">
      <c r="A9" s="2">
        <v>6008</v>
      </c>
      <c r="B9" s="3">
        <v>46034</v>
      </c>
      <c r="C9" s="2" t="s">
        <v>19</v>
      </c>
      <c r="D9" s="2" t="s">
        <v>9</v>
      </c>
      <c r="E9" s="14">
        <v>199</v>
      </c>
      <c r="F9" s="2">
        <v>4</v>
      </c>
      <c r="G9" s="2" t="s">
        <v>10</v>
      </c>
      <c r="H9" s="2" t="s">
        <v>11</v>
      </c>
      <c r="I9" s="10">
        <f t="shared" si="0"/>
        <v>796</v>
      </c>
    </row>
    <row r="10" spans="1:9" x14ac:dyDescent="0.3">
      <c r="A10" s="2">
        <v>6009</v>
      </c>
      <c r="B10" s="3">
        <v>46035</v>
      </c>
      <c r="C10" s="2" t="s">
        <v>8</v>
      </c>
      <c r="D10" s="2" t="s">
        <v>17</v>
      </c>
      <c r="E10" s="14">
        <v>299</v>
      </c>
      <c r="F10" s="2">
        <v>2</v>
      </c>
      <c r="G10" s="2" t="s">
        <v>18</v>
      </c>
      <c r="H10" s="2" t="s">
        <v>15</v>
      </c>
      <c r="I10" s="10">
        <f t="shared" si="0"/>
        <v>598</v>
      </c>
    </row>
    <row r="11" spans="1:9" x14ac:dyDescent="0.3">
      <c r="A11" s="2">
        <v>6010</v>
      </c>
      <c r="B11" s="3">
        <v>46036</v>
      </c>
      <c r="C11" s="2" t="s">
        <v>12</v>
      </c>
      <c r="D11" s="2" t="s">
        <v>13</v>
      </c>
      <c r="E11" s="14">
        <v>499</v>
      </c>
      <c r="F11" s="2">
        <v>6</v>
      </c>
      <c r="G11" s="2" t="s">
        <v>14</v>
      </c>
      <c r="H11" s="2" t="s">
        <v>15</v>
      </c>
      <c r="I11" s="10">
        <f t="shared" si="0"/>
        <v>2994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Plan</vt:lpstr>
      <vt:lpstr>Revenue by Device</vt:lpstr>
      <vt:lpstr>Users by City</vt:lpstr>
      <vt:lpstr>Users by Device</vt:lpstr>
      <vt:lpstr>Months Active by Pla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2026-03-28T07:53:25Z</dcterms:created>
  <dcterms:modified xsi:type="dcterms:W3CDTF">2026-03-30T07:13:47Z</dcterms:modified>
</cp:coreProperties>
</file>